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egul\Downloads\Depósitos Venezuela\Calculo ráido depósitos Venezuela\"/>
    </mc:Choice>
  </mc:AlternateContent>
  <xr:revisionPtr revIDLastSave="0" documentId="13_ncr:1_{6F02A672-D137-423A-8B82-9979279ED2FE}" xr6:coauthVersionLast="47" xr6:coauthVersionMax="47" xr10:uidLastSave="{00000000-0000-0000-0000-000000000000}"/>
  <bookViews>
    <workbookView xWindow="-108" yWindow="456" windowWidth="23256" windowHeight="11892"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 l="1"/>
  <c r="H6" i="1"/>
  <c r="H5" i="1"/>
  <c r="G5" i="1"/>
  <c r="G4" i="1"/>
  <c r="F4" i="1"/>
  <c r="F5" i="1"/>
  <c r="B2" i="1"/>
  <c r="H4" i="1"/>
  <c r="G6" i="1"/>
  <c r="G7" i="1" l="1"/>
  <c r="H7" i="1"/>
  <c r="F7" i="1"/>
</calcChain>
</file>

<file path=xl/sharedStrings.xml><?xml version="1.0" encoding="utf-8"?>
<sst xmlns="http://schemas.openxmlformats.org/spreadsheetml/2006/main" count="25" uniqueCount="25">
  <si>
    <t>Unidades</t>
  </si>
  <si>
    <t>Tasas</t>
  </si>
  <si>
    <t>Convertir USD a ARS</t>
  </si>
  <si>
    <t>Convertir ARS a Bs.</t>
  </si>
  <si>
    <t>* Tasa que ofrece Envíos JL Express para convertir los ARS en BS.</t>
  </si>
  <si>
    <t>Bolívares</t>
  </si>
  <si>
    <t>$ARS</t>
  </si>
  <si>
    <t>Dólares</t>
  </si>
  <si>
    <t>Convertir USD a Bs.</t>
  </si>
  <si>
    <t>** Tasa promedio en Bs.</t>
  </si>
  <si>
    <t>Cantidad en dólares</t>
  </si>
  <si>
    <t>Cantidad en bolívares</t>
  </si>
  <si>
    <t>Catidad en pesos ARS</t>
  </si>
  <si>
    <t>(1) Este valor se calcula con la relación entre tasas (4)/(3). No ingresar ningún valor.</t>
  </si>
  <si>
    <t>(2) Con esta tasa se calcula la cantidad de ARS que deben ser transferidos, partiendo de los dólares.</t>
  </si>
  <si>
    <t xml:space="preserve">(3) Tasa que ofrece "Envíos JL Express" para convertir a Bs. los ARS transferidos dependiendo si son mayores a ARS 50.000,00, en cuyo caso se agrega como cuarta posición decimal, el número 5. </t>
  </si>
  <si>
    <t>En caso contrario, "cero". Este valor debe ser ingresado para determinar la cantidad de Bs. a depositar, mediante la multiplicación de los ARS por esta tasa, la identificada con el numeral (3).</t>
  </si>
  <si>
    <t>(4) Tasa para determinar cuantos Bs. son los dólares que se quieren depositar. Es decir, si se quiere saber cuantos bolívares son cierta cantidad de dólares, estos se multiplican por la tasa (4).</t>
  </si>
  <si>
    <t>Dólar blue es un valor que se debe ingresar para tener una comparativa por si se compran y se pudieran entregar en efectivo.</t>
  </si>
  <si>
    <t>Modo de uso:</t>
  </si>
  <si>
    <t>Si se quiere depositar el equivalente en Bs. de cierta cantidad de dólares, esa cantidad ( los dólares) se colocan en la celda adyascente a la celda que contiene la frase "Cantidad en dólares".</t>
  </si>
  <si>
    <t>Si, además de los dólares queremos depositar Bs., pero no conocemos la cantidad de dólares que esta representa y por lo tanto no se puede sumar a la "Cantidad en dólares", se ingresa su</t>
  </si>
  <si>
    <t>valor en bolívares en la celda adyascente a la que se identifica como "Cantidad en bolívares". La misma consideración para una cantidad adicional de ARS que aún podemos utilizar, se ingresa</t>
  </si>
  <si>
    <t>en la celda ayascente a la indentificada como "Cantidad en pesos ARS. En conclusión, se puede utilizar el total en una sola moneda o colocando las diferentes monedas para no tener que hacer</t>
  </si>
  <si>
    <t>conversiones entre éstas para determinar los bolívares a depositar, los ARS que se deben transferir al proveedor que va a realizar los bolívares o en USD si se quiere usar esta referencia.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</si>
</sst>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Bs. -200A]#,##0.00"/>
    <numFmt numFmtId="165" formatCode="&quot;$ARS&quot;\ #,##0.00"/>
    <numFmt numFmtId="166" formatCode="&quot;USD$&quot;\ #,##0.00"/>
    <numFmt numFmtId="167" formatCode="&quot;(4) Bs./USD&quot;\ ##.00"/>
    <numFmt numFmtId="168" formatCode="&quot;(3) Bs./ARS&quot;\ #,##0.0000"/>
    <numFmt numFmtId="170" formatCode="&quot;ARS&quot;\ #,##0.00"/>
  </numFmts>
  <fonts count="3" x14ac:knownFonts="1">
    <font>
      <sz val="11"/>
      <color theme="1"/>
      <name val="Aptos Narrow"/>
      <family val="2"/>
      <scheme val="minor"/>
    </font>
    <font>
      <b/>
      <sz val="11"/>
      <color theme="1"/>
      <name val="Aptos Narrow"/>
      <family val="2"/>
      <scheme val="minor"/>
    </font>
    <font>
      <b/>
      <sz val="11"/>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5" tint="0.79998168889431442"/>
        <bgColor indexed="64"/>
      </patternFill>
    </fill>
    <fill>
      <patternFill patternType="solid">
        <fgColor theme="3" tint="0.8999603259376811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2" borderId="3" xfId="0" applyFont="1" applyFill="1" applyBorder="1" applyAlignment="1">
      <alignment horizontal="center"/>
    </xf>
    <xf numFmtId="164" fontId="1" fillId="0" borderId="4" xfId="0" applyNumberFormat="1" applyFont="1" applyBorder="1" applyAlignment="1">
      <alignment horizontal="center"/>
    </xf>
    <xf numFmtId="164" fontId="0" fillId="0" borderId="5" xfId="0" applyNumberFormat="1" applyBorder="1" applyAlignment="1">
      <alignment horizontal="center"/>
    </xf>
    <xf numFmtId="164" fontId="0" fillId="0" borderId="7" xfId="0" applyNumberFormat="1" applyBorder="1" applyAlignment="1">
      <alignment horizontal="center"/>
    </xf>
    <xf numFmtId="164" fontId="0" fillId="0" borderId="10" xfId="0" applyNumberFormat="1" applyBorder="1" applyAlignment="1">
      <alignment horizontal="center"/>
    </xf>
    <xf numFmtId="165" fontId="0" fillId="0" borderId="8" xfId="0" applyNumberFormat="1" applyBorder="1" applyAlignment="1">
      <alignment horizontal="center"/>
    </xf>
    <xf numFmtId="165" fontId="0" fillId="0" borderId="1" xfId="0" applyNumberFormat="1" applyBorder="1" applyAlignment="1">
      <alignment horizontal="center"/>
    </xf>
    <xf numFmtId="165" fontId="0" fillId="0" borderId="11" xfId="0" applyNumberFormat="1" applyBorder="1" applyAlignment="1">
      <alignment horizontal="center"/>
    </xf>
    <xf numFmtId="165" fontId="1" fillId="0" borderId="4" xfId="0" applyNumberFormat="1" applyFont="1" applyBorder="1" applyAlignment="1">
      <alignment horizontal="center"/>
    </xf>
    <xf numFmtId="166" fontId="0" fillId="0" borderId="6" xfId="0" applyNumberFormat="1" applyBorder="1" applyAlignment="1">
      <alignment horizontal="center"/>
    </xf>
    <xf numFmtId="166" fontId="0" fillId="0" borderId="12" xfId="0" applyNumberFormat="1" applyBorder="1" applyAlignment="1">
      <alignment horizontal="center"/>
    </xf>
    <xf numFmtId="166" fontId="1" fillId="0" borderId="4" xfId="0" applyNumberFormat="1" applyFont="1" applyBorder="1" applyAlignment="1">
      <alignment horizontal="center"/>
    </xf>
    <xf numFmtId="4" fontId="0" fillId="0" borderId="0" xfId="0" applyNumberFormat="1"/>
    <xf numFmtId="0" fontId="0" fillId="0" borderId="1" xfId="0" applyBorder="1"/>
    <xf numFmtId="166" fontId="0" fillId="0" borderId="13" xfId="0" applyNumberFormat="1" applyBorder="1"/>
    <xf numFmtId="164" fontId="0" fillId="0" borderId="13" xfId="0" applyNumberFormat="1" applyBorder="1"/>
    <xf numFmtId="165" fontId="0" fillId="0" borderId="13" xfId="0" applyNumberFormat="1" applyBorder="1"/>
    <xf numFmtId="0" fontId="1" fillId="3" borderId="2" xfId="0" applyFont="1" applyFill="1" applyBorder="1"/>
    <xf numFmtId="0" fontId="1" fillId="0" borderId="0" xfId="0" applyFont="1"/>
    <xf numFmtId="0" fontId="0" fillId="0" borderId="0" xfId="0" quotePrefix="1"/>
    <xf numFmtId="0" fontId="1" fillId="4" borderId="3" xfId="0" applyFont="1" applyFill="1" applyBorder="1" applyAlignment="1">
      <alignment horizontal="center"/>
    </xf>
    <xf numFmtId="167" fontId="0" fillId="0" borderId="1" xfId="0" applyNumberFormat="1" applyBorder="1"/>
    <xf numFmtId="168" fontId="0" fillId="0" borderId="1" xfId="0" applyNumberFormat="1" applyBorder="1"/>
    <xf numFmtId="170" fontId="0" fillId="0" borderId="1" xfId="0" applyNumberFormat="1" applyBorder="1"/>
    <xf numFmtId="165" fontId="0" fillId="0" borderId="9" xfId="0" applyNumberFormat="1" applyBorder="1" applyAlignment="1">
      <alignment horizontal="center"/>
    </xf>
  </cellXfs>
  <cellStyles count="1">
    <cellStyle name="Normal" xfId="0" builtinId="0"/>
  </cellStyles>
  <dxfs count="3">
    <dxf>
      <font>
        <b/>
        <i/>
      </font>
      <fill>
        <patternFill>
          <bgColor theme="5" tint="0.79998168889431442"/>
        </patternFill>
      </fill>
    </dxf>
    <dxf>
      <font>
        <b/>
        <i/>
      </font>
      <fill>
        <patternFill>
          <bgColor theme="5" tint="0.79998168889431442"/>
        </patternFill>
      </fill>
    </dxf>
    <dxf>
      <font>
        <b/>
        <i/>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tabSelected="1" workbookViewId="0">
      <selection activeCell="J7" sqref="J7"/>
    </sheetView>
  </sheetViews>
  <sheetFormatPr baseColWidth="10" defaultRowHeight="14.4" x14ac:dyDescent="0.3"/>
  <cols>
    <col min="1" max="1" width="20.6640625" customWidth="1"/>
    <col min="2" max="2" width="23" customWidth="1"/>
    <col min="3" max="4" width="20.77734375" customWidth="1"/>
    <col min="6" max="6" width="13" bestFit="1" customWidth="1"/>
    <col min="7" max="7" width="15.109375" bestFit="1" customWidth="1"/>
    <col min="8" max="8" width="11.88671875" bestFit="1" customWidth="1"/>
  </cols>
  <sheetData>
    <row r="1" spans="1:8" ht="44.25" customHeight="1" x14ac:dyDescent="0.3">
      <c r="A1" s="21" t="s">
        <v>0</v>
      </c>
      <c r="B1" s="21" t="s">
        <v>1</v>
      </c>
    </row>
    <row r="2" spans="1:8" ht="15" customHeight="1" thickBot="1" x14ac:dyDescent="0.35">
      <c r="A2" s="14" t="s">
        <v>2</v>
      </c>
      <c r="B2" s="24">
        <f>IFERROR(B4/B3,0)</f>
        <v>0</v>
      </c>
    </row>
    <row r="3" spans="1:8" ht="15" customHeight="1" thickBot="1" x14ac:dyDescent="0.35">
      <c r="A3" s="14" t="s">
        <v>3</v>
      </c>
      <c r="B3" s="23">
        <v>0</v>
      </c>
      <c r="C3" t="s">
        <v>4</v>
      </c>
      <c r="F3" s="1" t="s">
        <v>5</v>
      </c>
      <c r="G3" s="1" t="s">
        <v>6</v>
      </c>
      <c r="H3" s="1" t="s">
        <v>7</v>
      </c>
    </row>
    <row r="4" spans="1:8" x14ac:dyDescent="0.3">
      <c r="A4" s="14" t="s">
        <v>8</v>
      </c>
      <c r="B4" s="22">
        <v>0</v>
      </c>
      <c r="C4" t="s">
        <v>9</v>
      </c>
      <c r="F4" s="4">
        <f>IFERROR(H4*B4,0)</f>
        <v>0</v>
      </c>
      <c r="G4" s="6">
        <f>IFERROR(B2*Hoja1!$H4,0)</f>
        <v>0</v>
      </c>
      <c r="H4" s="25">
        <f>C6</f>
        <v>0</v>
      </c>
    </row>
    <row r="5" spans="1:8" ht="15" customHeight="1" thickBot="1" x14ac:dyDescent="0.35">
      <c r="F5" s="3">
        <f>C7</f>
        <v>0</v>
      </c>
      <c r="G5" s="7">
        <f>IFERROR(F5/B3,0)</f>
        <v>0</v>
      </c>
      <c r="H5" s="10">
        <f>IFERROR(F5/B4,0)</f>
        <v>0</v>
      </c>
    </row>
    <row r="6" spans="1:8" ht="15" customHeight="1" thickBot="1" x14ac:dyDescent="0.35">
      <c r="B6" s="18" t="s">
        <v>10</v>
      </c>
      <c r="C6" s="15">
        <v>0</v>
      </c>
      <c r="F6" s="5">
        <f>IFERROR(G6*B3,0)</f>
        <v>0</v>
      </c>
      <c r="G6" s="8">
        <f>C8</f>
        <v>0</v>
      </c>
      <c r="H6" s="11">
        <f>IFERROR(G6/B2,0)</f>
        <v>0</v>
      </c>
    </row>
    <row r="7" spans="1:8" ht="15" customHeight="1" thickBot="1" x14ac:dyDescent="0.35">
      <c r="B7" s="18" t="s">
        <v>11</v>
      </c>
      <c r="C7" s="16">
        <v>0</v>
      </c>
      <c r="F7" s="2">
        <f>SUM(F4:F6)</f>
        <v>0</v>
      </c>
      <c r="G7" s="9">
        <f>SUM(G4:G6)</f>
        <v>0</v>
      </c>
      <c r="H7" s="12">
        <f>SUM(H4:H6)</f>
        <v>0</v>
      </c>
    </row>
    <row r="8" spans="1:8" ht="15" customHeight="1" thickBot="1" x14ac:dyDescent="0.35">
      <c r="B8" s="18" t="s">
        <v>12</v>
      </c>
      <c r="C8" s="17">
        <v>0</v>
      </c>
    </row>
    <row r="10" spans="1:8" x14ac:dyDescent="0.3">
      <c r="A10" s="20" t="s">
        <v>13</v>
      </c>
    </row>
    <row r="11" spans="1:8" x14ac:dyDescent="0.3">
      <c r="A11" s="20" t="s">
        <v>14</v>
      </c>
      <c r="F11" s="13"/>
    </row>
    <row r="12" spans="1:8" x14ac:dyDescent="0.3">
      <c r="A12" s="20" t="s">
        <v>15</v>
      </c>
    </row>
    <row r="13" spans="1:8" x14ac:dyDescent="0.3">
      <c r="A13" t="s">
        <v>16</v>
      </c>
    </row>
    <row r="14" spans="1:8" x14ac:dyDescent="0.3">
      <c r="A14" s="20" t="s">
        <v>17</v>
      </c>
    </row>
    <row r="16" spans="1:8" x14ac:dyDescent="0.3">
      <c r="A16" t="s">
        <v>18</v>
      </c>
    </row>
    <row r="18" spans="1:1" x14ac:dyDescent="0.3">
      <c r="A18" s="19" t="s">
        <v>19</v>
      </c>
    </row>
    <row r="19" spans="1:1" x14ac:dyDescent="0.3">
      <c r="A19" t="s">
        <v>20</v>
      </c>
    </row>
    <row r="20" spans="1:1" x14ac:dyDescent="0.3">
      <c r="A20" t="s">
        <v>21</v>
      </c>
    </row>
    <row r="21" spans="1:1" x14ac:dyDescent="0.3">
      <c r="A21" t="s">
        <v>22</v>
      </c>
    </row>
    <row r="22" spans="1:1" x14ac:dyDescent="0.3">
      <c r="A22" t="s">
        <v>23</v>
      </c>
    </row>
    <row r="23" spans="1:1" x14ac:dyDescent="0.3">
      <c r="A23" t="s">
        <v>24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Régulo Rafael Luna Aponte</dc:creator>
  <cp:lastModifiedBy>Régulo Luna</cp:lastModifiedBy>
  <dcterms:created xsi:type="dcterms:W3CDTF">2025-01-20T09:40:44Z</dcterms:created>
  <dcterms:modified xsi:type="dcterms:W3CDTF">2026-09-21T02:12:54Z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2025-01-20T16:02:37Z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5c79def6-cdda-427a-9ed2-b7f08beeac0d</vt:lpwstr>
  </property>
  <property fmtid="{D5CDD505-2E9C-101B-9397-08002B2CF9AE}" pid="7" name="MSIP_Label_defa4170-0d19-0005-0004-bc88714345d2_ActionId">
    <vt:lpwstr>a0b53e56-7199-4c45-a733-ad4ac0729e1a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